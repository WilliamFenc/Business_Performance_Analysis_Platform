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feghq-my.sharepoint.com/personal/mileschuang_fenc_com/Documents/"/>
    </mc:Choice>
  </mc:AlternateContent>
  <xr:revisionPtr revIDLastSave="0" documentId="8_{0C59BBFD-7FAC-41EA-B9AA-71A9E107491A}" xr6:coauthVersionLast="47" xr6:coauthVersionMax="47" xr10:uidLastSave="{00000000-0000-0000-0000-000000000000}"/>
  <bookViews>
    <workbookView xWindow="-23148" yWindow="-108" windowWidth="23256" windowHeight="12456" firstSheet="1" xr2:uid="{47494490-D848-4669-8943-E3DCA0681F37}"/>
  </bookViews>
  <sheets>
    <sheet name="資產負債表" sheetId="3" r:id="rId1"/>
    <sheet name="損益表" sheetId="4" r:id="rId2"/>
    <sheet name="財報分析" sheetId="1" r:id="rId3"/>
    <sheet name="財務比率說明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2" i="1"/>
  <c r="P3" i="1"/>
  <c r="P4" i="1"/>
  <c r="P5" i="1"/>
  <c r="P2" i="1"/>
  <c r="O3" i="1"/>
  <c r="O4" i="1"/>
  <c r="O5" i="1"/>
  <c r="O2" i="1"/>
  <c r="N3" i="1"/>
  <c r="N4" i="1"/>
  <c r="N5" i="1"/>
  <c r="N2" i="1"/>
  <c r="M3" i="1"/>
  <c r="M4" i="1"/>
  <c r="M5" i="1"/>
  <c r="M2" i="1"/>
  <c r="L3" i="1"/>
  <c r="L4" i="1"/>
  <c r="L5" i="1"/>
  <c r="L2" i="1"/>
  <c r="E3" i="1"/>
  <c r="E4" i="1"/>
  <c r="E5" i="1"/>
  <c r="E2" i="1"/>
  <c r="K3" i="1"/>
  <c r="K4" i="1"/>
  <c r="K5" i="1"/>
  <c r="K2" i="1"/>
  <c r="I3" i="1"/>
  <c r="I4" i="1"/>
  <c r="I5" i="1"/>
  <c r="I2" i="1"/>
  <c r="H3" i="1"/>
  <c r="H4" i="1"/>
  <c r="H5" i="1"/>
  <c r="H2" i="1"/>
  <c r="G3" i="1"/>
  <c r="G4" i="1"/>
  <c r="G5" i="1"/>
  <c r="G2" i="1"/>
  <c r="F3" i="1"/>
  <c r="F4" i="1"/>
  <c r="F5" i="1"/>
  <c r="F2" i="1"/>
  <c r="D3" i="1"/>
  <c r="D4" i="1"/>
  <c r="D5" i="1"/>
  <c r="D2" i="1"/>
  <c r="C3" i="1"/>
  <c r="C4" i="1"/>
  <c r="C5" i="1"/>
  <c r="C2" i="1"/>
</calcChain>
</file>

<file path=xl/sharedStrings.xml><?xml version="1.0" encoding="utf-8"?>
<sst xmlns="http://schemas.openxmlformats.org/spreadsheetml/2006/main" count="237" uniqueCount="141">
  <si>
    <t>公司名稱</t>
    <phoneticPr fontId="1" type="noConversion"/>
  </si>
  <si>
    <t>年度</t>
    <phoneticPr fontId="1" type="noConversion"/>
  </si>
  <si>
    <t>現金及約當現金</t>
    <phoneticPr fontId="1" type="noConversion"/>
  </si>
  <si>
    <t>應收票據</t>
    <phoneticPr fontId="1" type="noConversion"/>
  </si>
  <si>
    <t>應收帳款</t>
    <phoneticPr fontId="1" type="noConversion"/>
  </si>
  <si>
    <t>應收帳款-關係人淨額</t>
    <phoneticPr fontId="1" type="noConversion"/>
  </si>
  <si>
    <t>其他應收款</t>
    <phoneticPr fontId="1" type="noConversion"/>
  </si>
  <si>
    <t>其他應收款-關係人</t>
    <phoneticPr fontId="1" type="noConversion"/>
  </si>
  <si>
    <t>本期所得税資產</t>
  </si>
  <si>
    <t>存貨</t>
  </si>
  <si>
    <t>預付款項</t>
    <phoneticPr fontId="1" type="noConversion"/>
  </si>
  <si>
    <t>其他流動資產</t>
  </si>
  <si>
    <t>流動資產</t>
  </si>
  <si>
    <t>不動產、廠房及設備</t>
  </si>
  <si>
    <t>使用權資產</t>
  </si>
  <si>
    <t>其他無形資產</t>
  </si>
  <si>
    <t>遞延所得税資產</t>
  </si>
  <si>
    <t>存出保證金</t>
  </si>
  <si>
    <t>其他金融資產-非流動</t>
  </si>
  <si>
    <t>其他非流動資產</t>
  </si>
  <si>
    <t>非流動資產</t>
  </si>
  <si>
    <t>資產</t>
    <phoneticPr fontId="1" type="noConversion"/>
  </si>
  <si>
    <t>短期借款</t>
    <phoneticPr fontId="1" type="noConversion"/>
  </si>
  <si>
    <t>合約負債一流動</t>
  </si>
  <si>
    <t>應付帳款</t>
  </si>
  <si>
    <t>應付帳款-關係人</t>
    <phoneticPr fontId="1" type="noConversion"/>
  </si>
  <si>
    <t>其他應付款</t>
  </si>
  <si>
    <t>本期所得税負債</t>
  </si>
  <si>
    <t>租賃負債-流動</t>
  </si>
  <si>
    <t>其他流動負債</t>
  </si>
  <si>
    <t>流動負債</t>
  </si>
  <si>
    <t>合約負債-非流動</t>
  </si>
  <si>
    <t>遞延所得税負債</t>
  </si>
  <si>
    <t>租賃負債-非流動</t>
    <phoneticPr fontId="1" type="noConversion"/>
  </si>
  <si>
    <t>淨確定福利負債一非流動</t>
    <phoneticPr fontId="1" type="noConversion"/>
  </si>
  <si>
    <t>存入保證金</t>
  </si>
  <si>
    <t>非流動負債</t>
  </si>
  <si>
    <t>負債</t>
    <phoneticPr fontId="1" type="noConversion"/>
  </si>
  <si>
    <t>普通股股本</t>
  </si>
  <si>
    <t>資本公積</t>
  </si>
  <si>
    <t>法定盈餘公積</t>
  </si>
  <si>
    <t>未分配盈餘</t>
  </si>
  <si>
    <t>其他權益</t>
  </si>
  <si>
    <t>權益</t>
    <phoneticPr fontId="1" type="noConversion"/>
  </si>
  <si>
    <t>博弘雲端</t>
    <phoneticPr fontId="1" type="noConversion"/>
  </si>
  <si>
    <t>營業收入淨額</t>
    <phoneticPr fontId="1" type="noConversion"/>
  </si>
  <si>
    <t>營業成本</t>
    <phoneticPr fontId="1" type="noConversion"/>
  </si>
  <si>
    <t>營業毛利</t>
    <phoneticPr fontId="1" type="noConversion"/>
  </si>
  <si>
    <t>營業費用</t>
  </si>
  <si>
    <t>推銷費用</t>
  </si>
  <si>
    <t>管理費用</t>
  </si>
  <si>
    <t>研究發展費用</t>
  </si>
  <si>
    <t>預期信用減損迴轉利益</t>
  </si>
  <si>
    <t>營業淨利</t>
    <phoneticPr fontId="1" type="noConversion"/>
  </si>
  <si>
    <t>營業外收入及支出</t>
  </si>
  <si>
    <t>外幣淨兌換損益</t>
    <phoneticPr fontId="1" type="noConversion"/>
  </si>
  <si>
    <t>利息收入</t>
  </si>
  <si>
    <t>財務成本</t>
  </si>
  <si>
    <t>其他利益及損失</t>
  </si>
  <si>
    <t>税前淨利</t>
    <phoneticPr fontId="1" type="noConversion"/>
  </si>
  <si>
    <t>所得稅費用</t>
  </si>
  <si>
    <t>本年度淨利</t>
    <phoneticPr fontId="1" type="noConversion"/>
  </si>
  <si>
    <t>確定福利計畫之再衡量数</t>
    <phoneticPr fontId="1" type="noConversion"/>
  </si>
  <si>
    <t>與不重分類之項目相關之所得稅</t>
    <phoneticPr fontId="1" type="noConversion"/>
  </si>
  <si>
    <t>國外營運機構財務報表換算之兌換差額</t>
    <phoneticPr fontId="1" type="noConversion"/>
  </si>
  <si>
    <t>與可能重分類之項目相關之所得稅</t>
    <phoneticPr fontId="1" type="noConversion"/>
  </si>
  <si>
    <t>其他綜合損益</t>
  </si>
  <si>
    <t>本年度綜合損益總額</t>
  </si>
  <si>
    <t>基本每股盈餘</t>
    <phoneticPr fontId="1" type="noConversion"/>
  </si>
  <si>
    <t>稀釋每股盈餘</t>
    <phoneticPr fontId="1" type="noConversion"/>
  </si>
  <si>
    <t>公司別</t>
    <phoneticPr fontId="1" type="noConversion"/>
  </si>
  <si>
    <t>淨利率</t>
  </si>
  <si>
    <t>毛利率</t>
  </si>
  <si>
    <t>ROA</t>
  </si>
  <si>
    <t>流動比率</t>
    <phoneticPr fontId="1" type="noConversion"/>
  </si>
  <si>
    <t>速動比率</t>
  </si>
  <si>
    <t>負債淨值比</t>
  </si>
  <si>
    <t>應收帳款週轉率</t>
    <phoneticPr fontId="1" type="noConversion"/>
  </si>
  <si>
    <t>存貨周轉率</t>
    <phoneticPr fontId="1" type="noConversion"/>
  </si>
  <si>
    <t>營收成長率</t>
    <phoneticPr fontId="1" type="noConversion"/>
  </si>
  <si>
    <t>毛利成長率</t>
    <phoneticPr fontId="1" type="noConversion"/>
  </si>
  <si>
    <t>稅前淨利成長率</t>
    <phoneticPr fontId="1" type="noConversion"/>
  </si>
  <si>
    <t>推銷費用占比</t>
    <phoneticPr fontId="1" type="noConversion"/>
  </si>
  <si>
    <t>管理費用佔比</t>
    <phoneticPr fontId="1" type="noConversion"/>
  </si>
  <si>
    <t>研發費用佔比</t>
    <phoneticPr fontId="1" type="noConversion"/>
  </si>
  <si>
    <t>指標</t>
    <phoneticPr fontId="1" type="noConversion"/>
  </si>
  <si>
    <t>計算公式</t>
    <phoneticPr fontId="1" type="noConversion"/>
  </si>
  <si>
    <t>判斷基礎</t>
    <phoneticPr fontId="1" type="noConversion"/>
  </si>
  <si>
    <t>正面 / 負面</t>
    <phoneticPr fontId="1" type="noConversion"/>
  </si>
  <si>
    <t>淨利率</t>
    <phoneticPr fontId="1" type="noConversion"/>
  </si>
  <si>
    <t>税前淨利 / 營業收入淨額</t>
    <phoneticPr fontId="1" type="noConversion"/>
  </si>
  <si>
    <t>大於10%</t>
    <phoneticPr fontId="1" type="noConversion"/>
  </si>
  <si>
    <t>正面</t>
    <phoneticPr fontId="1" type="noConversion"/>
  </si>
  <si>
    <t>小於0%</t>
    <phoneticPr fontId="1" type="noConversion"/>
  </si>
  <si>
    <t>負面</t>
    <phoneticPr fontId="1" type="noConversion"/>
  </si>
  <si>
    <t>前一年度&lt;0%，本年度&gt;0%</t>
    <phoneticPr fontId="1" type="noConversion"/>
  </si>
  <si>
    <t>前一年度&gt;0%，本年度&lt;0%</t>
    <phoneticPr fontId="1" type="noConversion"/>
  </si>
  <si>
    <t>連續三年以上&lt;0%</t>
    <phoneticPr fontId="1" type="noConversion"/>
  </si>
  <si>
    <t>營業毛利 / 營業收入淨額</t>
    <phoneticPr fontId="1" type="noConversion"/>
  </si>
  <si>
    <t>本年度 &lt; 前一年度</t>
    <phoneticPr fontId="1" type="noConversion"/>
  </si>
  <si>
    <t>本年度 &gt; 前一年度</t>
    <phoneticPr fontId="1" type="noConversion"/>
  </si>
  <si>
    <t>本年度淨利 / ( (資產 + 前一年度資產) / 2 )</t>
    <phoneticPr fontId="1" type="noConversion"/>
  </si>
  <si>
    <t>小於5%</t>
    <phoneticPr fontId="1" type="noConversion"/>
  </si>
  <si>
    <t>連續三年皆呈現正成長</t>
    <phoneticPr fontId="1" type="noConversion"/>
  </si>
  <si>
    <t>流動比率</t>
  </si>
  <si>
    <t>流動資產 / 流動負債</t>
    <phoneticPr fontId="1" type="noConversion"/>
  </si>
  <si>
    <t>大於2</t>
    <phoneticPr fontId="1" type="noConversion"/>
  </si>
  <si>
    <t>小於1</t>
    <phoneticPr fontId="1" type="noConversion"/>
  </si>
  <si>
    <t>大於1且速動比率&gt;0.8</t>
    <phoneticPr fontId="1" type="noConversion"/>
  </si>
  <si>
    <t>前一年度&lt;1，本年度&gt;1</t>
    <phoneticPr fontId="1" type="noConversion"/>
  </si>
  <si>
    <t>前一年度&gt;1，本年度&lt;1</t>
    <phoneticPr fontId="1" type="noConversion"/>
  </si>
  <si>
    <t>(流動資產 - 存貨 - 預付款項) / 流動負債</t>
    <phoneticPr fontId="1" type="noConversion"/>
  </si>
  <si>
    <t>大於0.8</t>
    <phoneticPr fontId="1" type="noConversion"/>
  </si>
  <si>
    <t>小於0.8</t>
    <phoneticPr fontId="1" type="noConversion"/>
  </si>
  <si>
    <t>前一年度&lt;0.8，本年度&gt;0.8</t>
    <phoneticPr fontId="1" type="noConversion"/>
  </si>
  <si>
    <t>前一年度&gt;0.8，本年度&lt;0.8</t>
    <phoneticPr fontId="1" type="noConversion"/>
  </si>
  <si>
    <t>負債淨值比</t>
    <phoneticPr fontId="1" type="noConversion"/>
  </si>
  <si>
    <t>負債 / 權益</t>
    <phoneticPr fontId="1" type="noConversion"/>
  </si>
  <si>
    <t>大於200%</t>
    <phoneticPr fontId="1" type="noConversion"/>
  </si>
  <si>
    <t>小於100%</t>
    <phoneticPr fontId="1" type="noConversion"/>
  </si>
  <si>
    <t>應收帳款週轉率</t>
  </si>
  <si>
    <t>營業收入淨額 / (今年和去年(應收票據 + 應收帳款 +應收帳款-關係人淨額)/2)</t>
    <phoneticPr fontId="1" type="noConversion"/>
  </si>
  <si>
    <t>大於6</t>
    <phoneticPr fontId="1" type="noConversion"/>
  </si>
  <si>
    <t>小於4</t>
    <phoneticPr fontId="1" type="noConversion"/>
  </si>
  <si>
    <t>連續三年皆呈現負成長</t>
    <phoneticPr fontId="1" type="noConversion"/>
  </si>
  <si>
    <t>存貨周轉率</t>
  </si>
  <si>
    <t>營業成本 / ((存貨 + 去年度存貨)/2)</t>
    <phoneticPr fontId="1" type="noConversion"/>
  </si>
  <si>
    <t>大於4</t>
    <phoneticPr fontId="1" type="noConversion"/>
  </si>
  <si>
    <t>小於2</t>
    <phoneticPr fontId="1" type="noConversion"/>
  </si>
  <si>
    <t>營業收入淨額 / 前一年度營業收入淨額 - 1</t>
    <phoneticPr fontId="1" type="noConversion"/>
  </si>
  <si>
    <t>連續三年&gt;10%</t>
    <phoneticPr fontId="1" type="noConversion"/>
  </si>
  <si>
    <t>連續三年&lt;0%</t>
    <phoneticPr fontId="1" type="noConversion"/>
  </si>
  <si>
    <t>營業毛利 / 前一年度營業毛利 -1</t>
    <phoneticPr fontId="1" type="noConversion"/>
  </si>
  <si>
    <t>成長幅度超過5%</t>
    <phoneticPr fontId="1" type="noConversion"/>
  </si>
  <si>
    <t>衰退幅度超過5%</t>
    <phoneticPr fontId="1" type="noConversion"/>
  </si>
  <si>
    <t>税前淨利 / 前一年度税前淨利 -1</t>
    <phoneticPr fontId="1" type="noConversion"/>
  </si>
  <si>
    <t>推銷費用 / 營業收入淨額</t>
    <phoneticPr fontId="1" type="noConversion"/>
  </si>
  <si>
    <t>占比超過5%</t>
    <phoneticPr fontId="1" type="noConversion"/>
  </si>
  <si>
    <t>相較去年度成長超過3%</t>
    <phoneticPr fontId="1" type="noConversion"/>
  </si>
  <si>
    <t>管理費用 / 營業收入淨額</t>
    <phoneticPr fontId="1" type="noConversion"/>
  </si>
  <si>
    <t>研究發展費用 / 營業收入淨額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</si>
</sst>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color theme="1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3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3" fontId="0" fillId="0" borderId="0" xfId="0" applyNumberFormat="1">
      <alignment vertical="center"/>
    </xf>
    <xf numFmtId="9" fontId="0" fillId="0" borderId="0" xfId="1" applyFont="1">
      <alignment vertical="center"/>
    </xf>
    <xf numFmtId="2" fontId="0" fillId="0" borderId="0" xfId="0" applyNumberFormat="1">
      <alignment vertical="center"/>
    </xf>
    <xf numFmtId="4" fontId="0" fillId="0" borderId="0" xfId="0" applyNumberFormat="1">
      <alignment vertical="center"/>
    </xf>
    <xf numFmtId="0" fontId="2" fillId="2" borderId="0" xfId="0" applyFont="1" applyFill="1">
      <alignment vertical="center"/>
    </xf>
    <xf numFmtId="0" fontId="2" fillId="0" borderId="0" xfId="0" applyFont="1" applyAlignment="1">
      <alignment horizontal="center" vertical="center"/>
    </xf>
    <xf numFmtId="9" fontId="2" fillId="0" borderId="0" xfId="1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79D2F-3EFC-46AA-BE3E-6DAF0BF57BA4}">
  <dimension ref="A1:AR15"/>
  <sheetViews>
    <sheetView tabSelected="1" topLeftCell="AE1" workbookViewId="0">
      <pane ySplit="1" topLeftCell="A2" activePane="bottomLeft" state="frozen"/>
      <selection pane="bottomLeft" activeCell="AO2" sqref="AO2:AO6"/>
    </sheetView>
  </sheetViews>
  <sheetFormatPr defaultRowHeight="16.5"/>
  <cols>
    <col min="2" max="2" width="5.5" style="1" bestFit="1" customWidth="1"/>
    <col min="3" max="3" width="16.125" bestFit="1" customWidth="1"/>
    <col min="4" max="5" width="9.5" bestFit="1" customWidth="1"/>
    <col min="6" max="6" width="21.25" bestFit="1" customWidth="1"/>
    <col min="7" max="8" width="21.25" customWidth="1"/>
    <col min="9" max="9" width="16.125" bestFit="1" customWidth="1"/>
    <col min="10" max="10" width="5.5" bestFit="1" customWidth="1"/>
    <col min="11" max="11" width="9.5" bestFit="1" customWidth="1"/>
    <col min="12" max="12" width="13.875" bestFit="1" customWidth="1"/>
    <col min="13" max="13" width="9.5" bestFit="1" customWidth="1"/>
    <col min="14" max="14" width="20.5" bestFit="1" customWidth="1"/>
    <col min="15" max="15" width="11.625" bestFit="1" customWidth="1"/>
    <col min="16" max="16" width="13.875" bestFit="1" customWidth="1"/>
    <col min="17" max="17" width="16.125" bestFit="1" customWidth="1"/>
    <col min="18" max="18" width="11.625" bestFit="1" customWidth="1"/>
    <col min="19" max="19" width="21.25" bestFit="1" customWidth="1"/>
    <col min="20" max="20" width="16.125" bestFit="1" customWidth="1"/>
    <col min="21" max="21" width="11.625" bestFit="1" customWidth="1"/>
    <col min="22" max="23" width="11.625" customWidth="1"/>
    <col min="24" max="24" width="16.125" bestFit="1" customWidth="1"/>
    <col min="26" max="26" width="16.75" bestFit="1" customWidth="1"/>
    <col min="27" max="27" width="11.625" bestFit="1" customWidth="1"/>
    <col min="28" max="28" width="16.125" bestFit="1" customWidth="1"/>
    <col min="29" max="29" width="14.625" bestFit="1" customWidth="1"/>
    <col min="30" max="30" width="13.875" bestFit="1" customWidth="1"/>
    <col min="31" max="31" width="9.5" bestFit="1" customWidth="1"/>
    <col min="32" max="32" width="16.75" bestFit="1" customWidth="1"/>
    <col min="33" max="33" width="16.125" bestFit="1" customWidth="1"/>
    <col min="34" max="34" width="16.125" customWidth="1"/>
    <col min="35" max="35" width="25" bestFit="1" customWidth="1"/>
    <col min="36" max="37" width="11.625" bestFit="1" customWidth="1"/>
    <col min="39" max="39" width="11.625" bestFit="1" customWidth="1"/>
    <col min="41" max="41" width="13.875" bestFit="1" customWidth="1"/>
    <col min="42" max="42" width="11.625" bestFit="1" customWidth="1"/>
  </cols>
  <sheetData>
    <row r="1" spans="1:44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 t="s">
        <v>44</v>
      </c>
      <c r="B2" s="1">
        <v>2024</v>
      </c>
      <c r="C2" s="4">
        <v>720946</v>
      </c>
      <c r="D2" s="4">
        <v>20145</v>
      </c>
      <c r="E2" s="4">
        <v>708366</v>
      </c>
      <c r="F2" s="4">
        <v>42144</v>
      </c>
      <c r="G2" s="4">
        <v>0</v>
      </c>
      <c r="H2" s="4">
        <v>0</v>
      </c>
      <c r="I2" s="4">
        <v>2996</v>
      </c>
      <c r="J2">
        <v>114</v>
      </c>
      <c r="K2" s="4">
        <v>87497</v>
      </c>
      <c r="L2">
        <v>113</v>
      </c>
      <c r="M2" s="4">
        <v>1582321</v>
      </c>
      <c r="N2" s="4">
        <v>1069</v>
      </c>
      <c r="O2" s="4">
        <v>2325</v>
      </c>
      <c r="P2" s="4">
        <v>6</v>
      </c>
      <c r="Q2" s="4">
        <v>3701</v>
      </c>
      <c r="R2" s="4">
        <v>8965</v>
      </c>
      <c r="S2">
        <v>290</v>
      </c>
      <c r="T2" s="4">
        <v>8473</v>
      </c>
      <c r="U2" s="4">
        <v>24829</v>
      </c>
      <c r="V2" s="4">
        <v>1607150</v>
      </c>
      <c r="W2" s="4">
        <v>0</v>
      </c>
      <c r="X2" s="4">
        <v>224024</v>
      </c>
      <c r="Y2" s="4">
        <v>531111</v>
      </c>
      <c r="Z2" s="4">
        <v>0</v>
      </c>
      <c r="AA2" s="4">
        <v>102968</v>
      </c>
      <c r="AB2" s="4">
        <v>19264</v>
      </c>
      <c r="AC2" s="4">
        <v>1925</v>
      </c>
      <c r="AD2" s="4">
        <v>22938</v>
      </c>
      <c r="AE2" s="4">
        <v>902230</v>
      </c>
      <c r="AF2" s="4">
        <v>15189</v>
      </c>
      <c r="AG2" s="4">
        <v>28308</v>
      </c>
      <c r="AH2" s="4">
        <v>0</v>
      </c>
      <c r="AI2">
        <v>484</v>
      </c>
      <c r="AJ2" s="4">
        <v>32651</v>
      </c>
      <c r="AK2" s="4">
        <v>76632</v>
      </c>
      <c r="AL2" s="4">
        <v>978862</v>
      </c>
      <c r="AM2" s="4">
        <v>221005</v>
      </c>
      <c r="AN2" s="4">
        <v>255519</v>
      </c>
      <c r="AO2" s="4">
        <v>20632</v>
      </c>
      <c r="AP2" s="4">
        <v>123175</v>
      </c>
      <c r="AQ2" s="4">
        <v>7957</v>
      </c>
      <c r="AR2" s="4">
        <v>628288</v>
      </c>
    </row>
    <row r="3" spans="1:44">
      <c r="A3" t="s">
        <v>44</v>
      </c>
      <c r="B3" s="1">
        <v>2023</v>
      </c>
      <c r="C3" s="4">
        <v>640349</v>
      </c>
      <c r="D3" s="4">
        <v>17352</v>
      </c>
      <c r="E3" s="4">
        <v>632626</v>
      </c>
      <c r="F3" s="4">
        <v>43476</v>
      </c>
      <c r="G3" s="4">
        <v>0</v>
      </c>
      <c r="H3" s="4">
        <v>0</v>
      </c>
      <c r="I3" s="4">
        <v>0</v>
      </c>
      <c r="J3">
        <v>110</v>
      </c>
      <c r="K3" s="4">
        <v>144883</v>
      </c>
      <c r="L3">
        <v>317</v>
      </c>
      <c r="M3" s="4">
        <v>1479113</v>
      </c>
      <c r="N3" s="4">
        <v>4548</v>
      </c>
      <c r="O3" s="4">
        <v>16061</v>
      </c>
      <c r="P3">
        <v>486</v>
      </c>
      <c r="Q3" s="4">
        <v>4288</v>
      </c>
      <c r="R3" s="4">
        <v>7992</v>
      </c>
      <c r="S3">
        <v>290</v>
      </c>
      <c r="T3" s="4">
        <v>18650</v>
      </c>
      <c r="U3" s="4">
        <v>52315</v>
      </c>
      <c r="V3" s="4">
        <v>1531428</v>
      </c>
      <c r="W3" s="4">
        <v>0</v>
      </c>
      <c r="X3" s="4">
        <v>297556</v>
      </c>
      <c r="Y3" s="4">
        <v>695116</v>
      </c>
      <c r="Z3" s="4">
        <v>0</v>
      </c>
      <c r="AA3" s="4">
        <v>85082</v>
      </c>
      <c r="AB3" s="4">
        <v>7043</v>
      </c>
      <c r="AC3" s="4">
        <v>14966</v>
      </c>
      <c r="AD3" s="4">
        <v>22660</v>
      </c>
      <c r="AE3" s="4">
        <v>1122423</v>
      </c>
      <c r="AF3" s="4">
        <v>29180</v>
      </c>
      <c r="AG3" s="4">
        <v>16212</v>
      </c>
      <c r="AH3" s="4">
        <v>0</v>
      </c>
      <c r="AI3" s="4">
        <v>0</v>
      </c>
      <c r="AJ3" s="4">
        <v>27124</v>
      </c>
      <c r="AK3" s="4">
        <v>72516</v>
      </c>
      <c r="AL3" s="4">
        <v>1194939</v>
      </c>
      <c r="AM3" s="4">
        <v>200115</v>
      </c>
      <c r="AN3" s="4">
        <v>32399</v>
      </c>
      <c r="AO3" s="4">
        <v>11599</v>
      </c>
      <c r="AP3" s="4">
        <v>90431</v>
      </c>
      <c r="AQ3" s="4">
        <v>1945</v>
      </c>
      <c r="AR3" s="4">
        <v>336489</v>
      </c>
    </row>
    <row r="4" spans="1:44">
      <c r="A4" t="s">
        <v>44</v>
      </c>
      <c r="B4" s="1">
        <v>2022</v>
      </c>
      <c r="C4" s="4">
        <v>363448</v>
      </c>
      <c r="D4" s="4">
        <v>11703</v>
      </c>
      <c r="E4" s="4">
        <v>788636</v>
      </c>
      <c r="F4" s="4">
        <v>63401</v>
      </c>
      <c r="G4" s="4">
        <v>0</v>
      </c>
      <c r="H4" s="4">
        <v>0</v>
      </c>
      <c r="I4" s="4">
        <v>4573</v>
      </c>
      <c r="J4">
        <v>301</v>
      </c>
      <c r="K4" s="4">
        <v>135313</v>
      </c>
      <c r="L4">
        <v>158</v>
      </c>
      <c r="M4" s="4">
        <v>1367533</v>
      </c>
      <c r="N4" s="4">
        <v>7200</v>
      </c>
      <c r="O4" s="4">
        <v>32122</v>
      </c>
      <c r="P4" s="4">
        <v>1272</v>
      </c>
      <c r="Q4" s="4">
        <v>2576</v>
      </c>
      <c r="R4" s="4">
        <v>6704</v>
      </c>
      <c r="S4">
        <v>290</v>
      </c>
      <c r="T4" s="4">
        <v>11272</v>
      </c>
      <c r="U4" s="4">
        <v>61436</v>
      </c>
      <c r="V4" s="4">
        <v>1428969</v>
      </c>
      <c r="W4" s="4">
        <v>20000</v>
      </c>
      <c r="X4" s="4">
        <v>221860</v>
      </c>
      <c r="Y4" s="4">
        <v>779314</v>
      </c>
      <c r="Z4" s="4">
        <v>0</v>
      </c>
      <c r="AA4" s="4">
        <v>69937</v>
      </c>
      <c r="AB4" s="4">
        <v>11925</v>
      </c>
      <c r="AC4" s="4">
        <v>16007</v>
      </c>
      <c r="AD4" s="4">
        <v>23365</v>
      </c>
      <c r="AE4" s="4">
        <v>1142408</v>
      </c>
      <c r="AF4" s="4">
        <v>22793</v>
      </c>
      <c r="AG4" s="4">
        <v>6942</v>
      </c>
      <c r="AH4" s="4">
        <v>16334</v>
      </c>
      <c r="AI4" s="4">
        <v>0</v>
      </c>
      <c r="AJ4" s="4">
        <v>11951</v>
      </c>
      <c r="AK4" s="4">
        <v>58020</v>
      </c>
      <c r="AL4" s="4">
        <v>1200428</v>
      </c>
      <c r="AM4" s="4">
        <v>159490</v>
      </c>
      <c r="AN4" s="4">
        <v>0</v>
      </c>
      <c r="AO4" s="4">
        <v>5533</v>
      </c>
      <c r="AP4" s="4">
        <v>60969</v>
      </c>
      <c r="AQ4" s="4">
        <v>2549</v>
      </c>
      <c r="AR4" s="4">
        <v>228541</v>
      </c>
    </row>
    <row r="5" spans="1:44">
      <c r="A5" t="s">
        <v>44</v>
      </c>
      <c r="B5" s="1">
        <v>2021</v>
      </c>
      <c r="C5" s="4">
        <v>385677</v>
      </c>
      <c r="D5" s="4">
        <v>8223</v>
      </c>
      <c r="E5" s="4">
        <v>546750</v>
      </c>
      <c r="F5" s="4">
        <v>34079</v>
      </c>
      <c r="G5">
        <v>656</v>
      </c>
      <c r="H5" s="4">
        <v>0</v>
      </c>
      <c r="I5">
        <v>0</v>
      </c>
      <c r="J5">
        <v>202</v>
      </c>
      <c r="K5" s="4">
        <v>104767</v>
      </c>
      <c r="L5">
        <v>572</v>
      </c>
      <c r="M5" s="4">
        <v>1080926</v>
      </c>
      <c r="N5" s="4">
        <v>3483</v>
      </c>
      <c r="O5" s="4">
        <v>5503</v>
      </c>
      <c r="P5" s="4">
        <v>1831</v>
      </c>
      <c r="Q5" s="4">
        <v>4066</v>
      </c>
      <c r="R5" s="4">
        <v>5558</v>
      </c>
      <c r="S5" s="4">
        <v>0</v>
      </c>
      <c r="T5" s="4">
        <v>7021</v>
      </c>
      <c r="U5" s="4">
        <v>27462</v>
      </c>
      <c r="V5" s="4">
        <v>1108388</v>
      </c>
      <c r="W5" s="4">
        <v>0</v>
      </c>
      <c r="X5" s="4">
        <v>147076</v>
      </c>
      <c r="Y5" s="4">
        <v>676292</v>
      </c>
      <c r="Z5" s="4">
        <v>0</v>
      </c>
      <c r="AA5" s="4">
        <v>55181</v>
      </c>
      <c r="AB5" s="4">
        <v>16064</v>
      </c>
      <c r="AC5" s="4">
        <v>1872</v>
      </c>
      <c r="AD5" s="4">
        <v>15706</v>
      </c>
      <c r="AE5" s="4">
        <v>912191</v>
      </c>
      <c r="AF5" s="4">
        <v>6641</v>
      </c>
      <c r="AG5" s="4">
        <v>7404</v>
      </c>
      <c r="AH5" s="4">
        <v>3778</v>
      </c>
      <c r="AI5" s="4">
        <v>0</v>
      </c>
      <c r="AJ5" s="4">
        <v>13845</v>
      </c>
      <c r="AK5" s="4">
        <v>31668</v>
      </c>
      <c r="AL5" s="4">
        <v>943859</v>
      </c>
      <c r="AM5" s="4">
        <v>49000</v>
      </c>
      <c r="AN5" s="4">
        <v>61000</v>
      </c>
      <c r="AO5" s="4">
        <v>0</v>
      </c>
      <c r="AP5" s="4">
        <v>55331</v>
      </c>
      <c r="AQ5" s="4">
        <v>-802</v>
      </c>
      <c r="AR5" s="4">
        <v>164529</v>
      </c>
    </row>
    <row r="6" spans="1:44">
      <c r="A6" t="s">
        <v>44</v>
      </c>
      <c r="B6" s="1">
        <v>2020</v>
      </c>
      <c r="C6" s="4">
        <v>152500</v>
      </c>
      <c r="D6" s="4">
        <v>8837</v>
      </c>
      <c r="E6" s="4">
        <v>369271</v>
      </c>
      <c r="F6" s="4">
        <v>23402</v>
      </c>
      <c r="G6" s="4">
        <v>2470</v>
      </c>
      <c r="H6" s="4">
        <v>3889</v>
      </c>
      <c r="I6" s="4">
        <v>0</v>
      </c>
      <c r="J6" s="4">
        <v>495</v>
      </c>
      <c r="K6" s="4">
        <v>68691</v>
      </c>
      <c r="L6">
        <v>519</v>
      </c>
      <c r="M6" s="4">
        <v>630074</v>
      </c>
      <c r="N6" s="4">
        <v>1491</v>
      </c>
      <c r="O6" s="4">
        <v>6356</v>
      </c>
      <c r="P6">
        <v>650</v>
      </c>
      <c r="Q6" s="4">
        <v>2055</v>
      </c>
      <c r="R6" s="4">
        <v>5651</v>
      </c>
      <c r="S6" s="4">
        <v>0</v>
      </c>
      <c r="T6" s="4">
        <v>0</v>
      </c>
      <c r="U6" s="4">
        <v>16203</v>
      </c>
      <c r="V6" s="4">
        <v>646277</v>
      </c>
      <c r="W6" s="4">
        <v>30000</v>
      </c>
      <c r="X6" s="4">
        <v>70048</v>
      </c>
      <c r="Y6" s="4">
        <v>341513</v>
      </c>
      <c r="Z6" s="4">
        <v>22575</v>
      </c>
      <c r="AA6" s="4">
        <v>36519</v>
      </c>
      <c r="AB6" s="4">
        <v>6941</v>
      </c>
      <c r="AC6" s="4">
        <v>6466</v>
      </c>
      <c r="AD6" s="4">
        <v>10003</v>
      </c>
      <c r="AE6" s="4">
        <v>524065</v>
      </c>
      <c r="AF6" s="4">
        <v>0</v>
      </c>
      <c r="AG6" s="4">
        <v>1642</v>
      </c>
      <c r="AH6" s="4">
        <v>0</v>
      </c>
      <c r="AI6">
        <v>0</v>
      </c>
      <c r="AJ6">
        <v>15864</v>
      </c>
      <c r="AK6" s="4">
        <v>17506</v>
      </c>
      <c r="AL6" s="4">
        <v>541571</v>
      </c>
      <c r="AM6" s="4">
        <v>49000</v>
      </c>
      <c r="AN6" s="4">
        <v>61000</v>
      </c>
      <c r="AO6" s="4">
        <v>0</v>
      </c>
      <c r="AP6" s="4">
        <v>-4931</v>
      </c>
      <c r="AQ6" s="4">
        <v>-363</v>
      </c>
      <c r="AR6" s="4">
        <v>104706</v>
      </c>
    </row>
    <row r="8" spans="1:44">
      <c r="U8" s="4"/>
    </row>
    <row r="9" spans="1:44">
      <c r="U9" s="4"/>
    </row>
    <row r="10" spans="1:44">
      <c r="I10" s="4"/>
      <c r="L10" s="4"/>
      <c r="U10" s="4"/>
      <c r="AK10" s="4"/>
    </row>
    <row r="11" spans="1:44">
      <c r="L11" s="4"/>
      <c r="U11" s="4"/>
      <c r="AK11" s="4"/>
    </row>
    <row r="12" spans="1:44">
      <c r="L12" s="4"/>
      <c r="U12" s="4"/>
      <c r="AK12" s="4"/>
    </row>
    <row r="13" spans="1:44">
      <c r="L13" s="4"/>
      <c r="U13" s="4"/>
      <c r="AK13" s="4"/>
    </row>
    <row r="14" spans="1:44">
      <c r="L14" s="4"/>
      <c r="U14" s="4"/>
      <c r="AK14" s="4"/>
    </row>
    <row r="15" spans="1:44">
      <c r="U15" s="4"/>
      <c r="AK15" s="4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7CD08-1205-4296-89EF-80640588A19B}">
  <dimension ref="A1:AA12"/>
  <sheetViews>
    <sheetView topLeftCell="T1" workbookViewId="0">
      <pane ySplit="1" topLeftCell="A2" activePane="bottomLeft" state="frozen"/>
      <selection pane="bottomLeft" activeCell="T14" sqref="T14"/>
    </sheetView>
  </sheetViews>
  <sheetFormatPr defaultRowHeight="16.5"/>
  <cols>
    <col min="1" max="1" width="12" customWidth="1"/>
    <col min="3" max="3" width="13.875" bestFit="1" customWidth="1"/>
    <col min="4" max="4" width="10.5" bestFit="1" customWidth="1"/>
    <col min="9" max="9" width="13.875" bestFit="1" customWidth="1"/>
    <col min="10" max="10" width="22.75" bestFit="1" customWidth="1"/>
    <col min="12" max="12" width="18.375" bestFit="1" customWidth="1"/>
    <col min="13" max="13" width="16.125" bestFit="1" customWidth="1"/>
    <col min="16" max="16" width="16.125" bestFit="1" customWidth="1"/>
    <col min="18" max="19" width="11.625" bestFit="1" customWidth="1"/>
    <col min="20" max="20" width="25.375" customWidth="1"/>
    <col min="21" max="21" width="31.625" bestFit="1" customWidth="1"/>
    <col min="22" max="22" width="38.25" bestFit="1" customWidth="1"/>
    <col min="23" max="23" width="33.875" bestFit="1" customWidth="1"/>
    <col min="24" max="24" width="13.875" bestFit="1" customWidth="1"/>
    <col min="25" max="25" width="20.5" bestFit="1" customWidth="1"/>
    <col min="26" max="27" width="13.875" bestFit="1" customWidth="1"/>
  </cols>
  <sheetData>
    <row r="1" spans="1:27">
      <c r="A1" t="s">
        <v>0</v>
      </c>
      <c r="B1" s="1" t="s">
        <v>1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  <c r="S1" t="s">
        <v>61</v>
      </c>
      <c r="T1" t="s">
        <v>62</v>
      </c>
      <c r="U1" t="s">
        <v>63</v>
      </c>
      <c r="V1" t="s">
        <v>64</v>
      </c>
      <c r="W1" t="s">
        <v>65</v>
      </c>
      <c r="X1" t="s">
        <v>66</v>
      </c>
      <c r="Y1" t="s">
        <v>67</v>
      </c>
      <c r="Z1" t="s">
        <v>68</v>
      </c>
      <c r="AA1" t="s">
        <v>69</v>
      </c>
    </row>
    <row r="2" spans="1:27">
      <c r="A2" t="s">
        <v>44</v>
      </c>
      <c r="B2" s="1">
        <v>2024</v>
      </c>
      <c r="C2" s="4">
        <v>4002787</v>
      </c>
      <c r="D2" s="4">
        <v>3509063</v>
      </c>
      <c r="E2" s="4">
        <v>493724</v>
      </c>
      <c r="F2" s="4">
        <v>338457</v>
      </c>
      <c r="G2" s="4">
        <v>204265</v>
      </c>
      <c r="H2" s="4">
        <v>111761</v>
      </c>
      <c r="I2" s="4">
        <v>24996</v>
      </c>
      <c r="J2" s="4">
        <v>2565</v>
      </c>
      <c r="K2" s="4">
        <v>155267</v>
      </c>
      <c r="L2" s="4">
        <v>5841</v>
      </c>
      <c r="M2" s="4">
        <v>-3712</v>
      </c>
      <c r="N2" s="4">
        <v>9598</v>
      </c>
      <c r="O2">
        <v>-182</v>
      </c>
      <c r="P2">
        <v>137</v>
      </c>
      <c r="Q2" s="4">
        <v>161108</v>
      </c>
      <c r="R2" s="4">
        <v>38071</v>
      </c>
      <c r="S2" s="4">
        <v>123037</v>
      </c>
      <c r="T2">
        <v>-18</v>
      </c>
      <c r="U2" s="4">
        <v>4</v>
      </c>
      <c r="V2" s="4">
        <v>7515</v>
      </c>
      <c r="W2" s="4">
        <v>-1503</v>
      </c>
      <c r="X2" s="4">
        <v>5998</v>
      </c>
      <c r="Y2" s="4">
        <v>129035</v>
      </c>
      <c r="Z2">
        <v>6.11</v>
      </c>
      <c r="AA2">
        <v>6.09</v>
      </c>
    </row>
    <row r="3" spans="1:27">
      <c r="A3" t="s">
        <v>44</v>
      </c>
      <c r="B3" s="1">
        <v>2023</v>
      </c>
      <c r="C3" s="4">
        <v>4748542</v>
      </c>
      <c r="D3" s="4">
        <v>4327051</v>
      </c>
      <c r="E3" s="4">
        <v>421491</v>
      </c>
      <c r="F3" s="4">
        <v>307257</v>
      </c>
      <c r="G3" s="4">
        <v>177418</v>
      </c>
      <c r="H3" s="4">
        <v>103871</v>
      </c>
      <c r="I3" s="4">
        <v>17531</v>
      </c>
      <c r="J3" s="4">
        <v>-8437</v>
      </c>
      <c r="K3" s="4">
        <v>114234</v>
      </c>
      <c r="L3" s="4">
        <v>6792</v>
      </c>
      <c r="M3">
        <v>153</v>
      </c>
      <c r="N3" s="4">
        <v>6879</v>
      </c>
      <c r="O3">
        <v>-656</v>
      </c>
      <c r="P3">
        <v>416</v>
      </c>
      <c r="Q3" s="4">
        <v>121026</v>
      </c>
      <c r="R3" s="4">
        <v>30698</v>
      </c>
      <c r="S3" s="4">
        <v>90328</v>
      </c>
      <c r="T3" s="4">
        <v>0</v>
      </c>
      <c r="U3" s="4">
        <v>0</v>
      </c>
      <c r="V3">
        <v>-755</v>
      </c>
      <c r="W3">
        <v>151</v>
      </c>
      <c r="X3">
        <v>-604</v>
      </c>
      <c r="Y3" s="4">
        <v>89724</v>
      </c>
      <c r="Z3">
        <v>4.5999999999999996</v>
      </c>
      <c r="AA3">
        <v>4.57</v>
      </c>
    </row>
    <row r="4" spans="1:27">
      <c r="A4" t="s">
        <v>44</v>
      </c>
      <c r="B4" s="1">
        <v>2022</v>
      </c>
      <c r="C4" s="4">
        <v>5061879</v>
      </c>
      <c r="D4" s="4">
        <v>4655463</v>
      </c>
      <c r="E4" s="4">
        <v>406416</v>
      </c>
      <c r="F4" s="4">
        <v>311523</v>
      </c>
      <c r="G4" s="4">
        <v>185313</v>
      </c>
      <c r="H4" s="4">
        <v>72803</v>
      </c>
      <c r="I4" s="4">
        <v>15286</v>
      </c>
      <c r="J4" s="4">
        <v>-38121</v>
      </c>
      <c r="K4" s="4">
        <v>94893</v>
      </c>
      <c r="L4" s="4">
        <v>-15771</v>
      </c>
      <c r="M4" s="4">
        <v>-16168</v>
      </c>
      <c r="N4">
        <v>417</v>
      </c>
      <c r="O4">
        <v>-445</v>
      </c>
      <c r="P4">
        <v>425</v>
      </c>
      <c r="Q4" s="4">
        <v>79122</v>
      </c>
      <c r="R4" s="4">
        <v>18461</v>
      </c>
      <c r="S4" s="4">
        <v>60661</v>
      </c>
      <c r="V4" s="4">
        <v>4188</v>
      </c>
      <c r="W4">
        <v>-837</v>
      </c>
      <c r="X4">
        <v>3351</v>
      </c>
      <c r="Y4" s="4">
        <v>64012</v>
      </c>
      <c r="Z4">
        <v>3.8</v>
      </c>
      <c r="AA4">
        <v>3.79</v>
      </c>
    </row>
    <row r="5" spans="1:27">
      <c r="A5" t="s">
        <v>44</v>
      </c>
      <c r="B5" s="1">
        <v>2021</v>
      </c>
      <c r="C5" s="4">
        <v>3510759</v>
      </c>
      <c r="D5" s="4">
        <v>3190920</v>
      </c>
      <c r="E5" s="4">
        <v>319839</v>
      </c>
      <c r="F5" s="4">
        <v>226148</v>
      </c>
      <c r="G5" s="4">
        <v>150525</v>
      </c>
      <c r="H5" s="4">
        <v>48881</v>
      </c>
      <c r="I5" s="4">
        <v>7852</v>
      </c>
      <c r="J5" s="4">
        <v>-18890</v>
      </c>
      <c r="K5" s="4">
        <v>93691</v>
      </c>
      <c r="L5" s="4">
        <v>-10633</v>
      </c>
      <c r="M5" s="4">
        <v>-7132</v>
      </c>
      <c r="N5">
        <v>57</v>
      </c>
      <c r="O5">
        <v>-295</v>
      </c>
      <c r="P5" s="4">
        <v>-3263</v>
      </c>
      <c r="Q5" s="4">
        <v>83058</v>
      </c>
      <c r="R5" s="4">
        <v>22796</v>
      </c>
      <c r="S5" s="4">
        <v>60262</v>
      </c>
      <c r="V5">
        <v>-548</v>
      </c>
      <c r="W5">
        <v>109</v>
      </c>
      <c r="X5">
        <v>-439</v>
      </c>
      <c r="Y5" s="4">
        <v>59823</v>
      </c>
      <c r="Z5">
        <v>3.78</v>
      </c>
      <c r="AA5">
        <v>3.76</v>
      </c>
    </row>
    <row r="6" spans="1:27">
      <c r="A6" t="s">
        <v>44</v>
      </c>
      <c r="B6" s="1">
        <v>2020</v>
      </c>
      <c r="C6" s="4">
        <v>2066623</v>
      </c>
      <c r="D6" s="4">
        <v>1855975</v>
      </c>
      <c r="E6" s="4">
        <v>210648</v>
      </c>
      <c r="F6" s="4">
        <v>164504</v>
      </c>
      <c r="G6" s="4">
        <v>118794</v>
      </c>
      <c r="H6" s="4">
        <v>32375</v>
      </c>
      <c r="I6" s="4">
        <v>5316</v>
      </c>
      <c r="J6" s="4">
        <v>-8019</v>
      </c>
      <c r="K6" s="4">
        <v>46144</v>
      </c>
      <c r="L6" s="4">
        <v>3272</v>
      </c>
      <c r="M6" s="4">
        <v>1224</v>
      </c>
      <c r="N6">
        <v>66</v>
      </c>
      <c r="O6">
        <v>-323</v>
      </c>
      <c r="P6" s="4">
        <v>2305</v>
      </c>
      <c r="Q6" s="4">
        <v>49416</v>
      </c>
      <c r="R6" s="4">
        <v>10898</v>
      </c>
      <c r="S6" s="4">
        <v>38518</v>
      </c>
      <c r="V6" s="4">
        <v>-371</v>
      </c>
      <c r="W6" s="4">
        <v>74</v>
      </c>
      <c r="X6" s="4">
        <v>-297</v>
      </c>
      <c r="Y6" s="4">
        <v>38221</v>
      </c>
      <c r="Z6">
        <v>2.42</v>
      </c>
      <c r="AA6">
        <v>2.42</v>
      </c>
    </row>
    <row r="8" spans="1:27">
      <c r="Q8" s="4"/>
    </row>
    <row r="9" spans="1:27">
      <c r="Q9" s="4"/>
    </row>
    <row r="10" spans="1:27">
      <c r="Q10" s="4"/>
    </row>
    <row r="11" spans="1:27">
      <c r="Q11" s="4"/>
    </row>
    <row r="12" spans="1:27">
      <c r="Q12" s="4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10491-E814-4352-94C5-296275838EDD}">
  <dimension ref="A1:P6"/>
  <sheetViews>
    <sheetView workbookViewId="0">
      <pane ySplit="1" topLeftCell="A2" activePane="bottomLeft" state="frozen"/>
      <selection pane="bottomLeft" activeCell="C2" sqref="C2"/>
    </sheetView>
  </sheetViews>
  <sheetFormatPr defaultRowHeight="16.5"/>
  <cols>
    <col min="1" max="1" width="9" style="1"/>
    <col min="2" max="2" width="10.5" style="1" bestFit="1" customWidth="1"/>
    <col min="3" max="3" width="16.375" bestFit="1" customWidth="1"/>
    <col min="4" max="4" width="11.625" bestFit="1" customWidth="1"/>
    <col min="5" max="5" width="12.375" customWidth="1"/>
    <col min="6" max="7" width="9.75" bestFit="1" customWidth="1"/>
    <col min="8" max="8" width="11.875" bestFit="1" customWidth="1"/>
    <col min="9" max="9" width="16.375" bestFit="1" customWidth="1"/>
    <col min="10" max="10" width="12.75" bestFit="1" customWidth="1"/>
    <col min="11" max="11" width="13.5" bestFit="1" customWidth="1"/>
    <col min="12" max="12" width="12.75" bestFit="1" customWidth="1"/>
    <col min="13" max="13" width="16.375" bestFit="1" customWidth="1"/>
    <col min="14" max="16" width="14.125" bestFit="1" customWidth="1"/>
  </cols>
  <sheetData>
    <row r="1" spans="1:16">
      <c r="A1" s="3" t="s">
        <v>1</v>
      </c>
      <c r="B1" s="3" t="s">
        <v>70</v>
      </c>
      <c r="C1" s="3" t="s">
        <v>71</v>
      </c>
      <c r="D1" s="8" t="s">
        <v>72</v>
      </c>
      <c r="E1" s="3" t="s">
        <v>73</v>
      </c>
      <c r="F1" s="8" t="s">
        <v>74</v>
      </c>
      <c r="G1" s="3" t="s">
        <v>75</v>
      </c>
      <c r="H1" s="3" t="s">
        <v>76</v>
      </c>
      <c r="I1" s="8" t="s">
        <v>77</v>
      </c>
      <c r="J1" s="8" t="s">
        <v>78</v>
      </c>
      <c r="K1" s="3" t="s">
        <v>79</v>
      </c>
      <c r="L1" s="3" t="s">
        <v>80</v>
      </c>
      <c r="M1" s="3" t="s">
        <v>81</v>
      </c>
      <c r="N1" s="3" t="s">
        <v>82</v>
      </c>
      <c r="O1" s="3" t="s">
        <v>83</v>
      </c>
      <c r="P1" s="3" t="s">
        <v>84</v>
      </c>
    </row>
    <row r="2" spans="1:16">
      <c r="A2" s="3">
        <v>2024</v>
      </c>
      <c r="B2" t="s">
        <v>44</v>
      </c>
      <c r="C2" s="5">
        <f>損益表!Q2/損益表!C2</f>
        <v>4.0248956539531082E-2</v>
      </c>
      <c r="D2" s="5">
        <f>損益表!E2/損益表!C2</f>
        <v>0.12334505932991188</v>
      </c>
      <c r="E2" s="5">
        <f>損益表!S2/((資產負債表!V2+資產負債表!V3)/2)</f>
        <v>7.8403022005506959E-2</v>
      </c>
      <c r="F2" s="6">
        <f>資產負債表!M2/資產負債表!AE2</f>
        <v>1.7537889451691919</v>
      </c>
      <c r="G2" s="6">
        <f>(資產負債表!M2-資產負債表!K2-資產負債表!J2)/資產負債表!AE2</f>
        <v>1.6566839941034992</v>
      </c>
      <c r="H2" s="7">
        <f>資產負債表!AL2/資產負債表!AR2</f>
        <v>1.5579829632270552</v>
      </c>
      <c r="I2" s="6">
        <f>損益表!C2/(((資產負債表!D2+資產負債表!E2+資產負債表!F2)+(資產負債表!D3+資產負債表!E3+資產負債表!F3))/2)</f>
        <v>5.467881148193201</v>
      </c>
      <c r="J2" s="6">
        <f>損益表!D2/((資產負債表!J2+資產負債表!J3)/2)</f>
        <v>31330.919642857141</v>
      </c>
      <c r="K2" s="5">
        <f>損益表!C2/損益表!C3-1</f>
        <v>-0.15704925848818441</v>
      </c>
      <c r="L2" s="5">
        <f>損益表!E2/損益表!E3-1</f>
        <v>0.17137495225283583</v>
      </c>
      <c r="M2" s="5">
        <f>損益表!Q2/損益表!Q3-1</f>
        <v>0.33118503462065996</v>
      </c>
      <c r="N2" s="5">
        <f>損益表!G2/損益表!C2</f>
        <v>5.1030694363702091E-2</v>
      </c>
      <c r="O2" s="5">
        <f>損益表!H2/損益表!C2</f>
        <v>2.7920796185257921E-2</v>
      </c>
      <c r="P2" s="5">
        <f>損益表!I2/損益表!C2</f>
        <v>6.2446490407808359E-3</v>
      </c>
    </row>
    <row r="3" spans="1:16">
      <c r="A3" s="3">
        <v>2023</v>
      </c>
      <c r="B3" t="s">
        <v>44</v>
      </c>
      <c r="C3" s="5">
        <f>損益表!Q3/損益表!C3</f>
        <v>2.5486981056501132E-2</v>
      </c>
      <c r="D3" s="5">
        <f>損益表!E3/損益表!C3</f>
        <v>8.8762192689882488E-2</v>
      </c>
      <c r="E3" s="5">
        <f>損益表!S3/((資產負債表!V3+資產負債表!V4)/2)</f>
        <v>6.102424776136444E-2</v>
      </c>
      <c r="F3" s="6">
        <f>資產負債表!M3/資產負債表!AE3</f>
        <v>1.3177857189312763</v>
      </c>
      <c r="G3" s="6">
        <f>(資產負債表!M3-資產負債表!K3-資產負債表!J3)/資產負債表!AE3</f>
        <v>1.1886071472163346</v>
      </c>
      <c r="H3" s="7">
        <f>資產負債表!AL3/資產負債表!AR3</f>
        <v>3.5511978103296098</v>
      </c>
      <c r="I3" s="6">
        <f>損益表!C3/(((資產負債表!D3+資產負債表!E3+資產負債表!F3)+(資產負債表!D4+資產負債表!E4+資產負債表!F4))/2)</f>
        <v>6.0988444599709482</v>
      </c>
      <c r="J3" s="6">
        <f>損益表!D3/((資產負債表!J3+資產負債表!J4)/2)</f>
        <v>21056.209245742091</v>
      </c>
      <c r="K3" s="5">
        <f>損益表!C3/損益表!C4-1</f>
        <v>-6.1901321623847538E-2</v>
      </c>
      <c r="L3" s="5">
        <f>損益表!E3/損益表!E4-1</f>
        <v>3.7092535726939824E-2</v>
      </c>
      <c r="M3" s="5">
        <f>損益表!Q3/損益表!Q4-1</f>
        <v>0.52961249715629033</v>
      </c>
      <c r="N3" s="5">
        <f>損益表!G3/損益表!C3</f>
        <v>3.7362626254542973E-2</v>
      </c>
      <c r="O3" s="5">
        <f>損益表!H3/損益表!C3</f>
        <v>2.1874293204103491E-2</v>
      </c>
      <c r="P3" s="5">
        <f>損益表!I3/損益表!C3</f>
        <v>3.6918700519022471E-3</v>
      </c>
    </row>
    <row r="4" spans="1:16">
      <c r="A4" s="3">
        <v>2022</v>
      </c>
      <c r="B4" t="s">
        <v>44</v>
      </c>
      <c r="C4" s="5">
        <f>損益表!Q4/損益表!C4</f>
        <v>1.5630954434114289E-2</v>
      </c>
      <c r="D4" s="5">
        <f>損益表!E4/損益表!C4</f>
        <v>8.028955255548384E-2</v>
      </c>
      <c r="E4" s="5">
        <f>損益表!S4/((資產負債表!V4+資產負債表!V5)/2)</f>
        <v>4.7814320176467084E-2</v>
      </c>
      <c r="F4" s="6">
        <f>資產負債表!M4/資產負債表!AE4</f>
        <v>1.197061820295376</v>
      </c>
      <c r="G4" s="6">
        <f>(資產負債表!M4-資產負債表!K4-資產負債表!J4)/資產負債表!AE4</f>
        <v>1.0783529176966549</v>
      </c>
      <c r="H4" s="7">
        <f>資產負債表!AL4/資產負債表!AR4</f>
        <v>5.2525717486140344</v>
      </c>
      <c r="I4" s="6">
        <f>損益表!C4/(((資產負債表!D4+資產負債表!E4+資產負債表!F4)+(資產負債表!D5+資產負債表!E5+資產負債表!F5))/2)</f>
        <v>6.9684841326218754</v>
      </c>
      <c r="J4" s="6">
        <f>損益表!D4/((資產負債表!J4+資產負債表!J5)/2)</f>
        <v>18510.787276341947</v>
      </c>
      <c r="K4" s="5">
        <f>損益表!C4/損益表!C5-1</f>
        <v>0.44181899127795443</v>
      </c>
      <c r="L4" s="5">
        <f>損益表!E4/損益表!E5-1</f>
        <v>0.27068931556189213</v>
      </c>
      <c r="M4" s="5">
        <f>損益表!Q4/損益表!Q5-1</f>
        <v>-4.7388571841363913E-2</v>
      </c>
      <c r="N4" s="5">
        <f>損益表!G4/損益表!C4</f>
        <v>3.6609527805781215E-2</v>
      </c>
      <c r="O4" s="5">
        <f>損益表!H4/損益表!C4</f>
        <v>1.4382603772235568E-2</v>
      </c>
      <c r="P4" s="5">
        <f>損益表!I4/損益表!C4</f>
        <v>3.0198272222627209E-3</v>
      </c>
    </row>
    <row r="5" spans="1:16">
      <c r="A5" s="3">
        <v>2021</v>
      </c>
      <c r="B5" t="s">
        <v>44</v>
      </c>
      <c r="C5" s="5">
        <f>損益表!Q5/損益表!C5</f>
        <v>2.3658132044950965E-2</v>
      </c>
      <c r="D5" s="5">
        <f>損益表!E5/損益表!C5</f>
        <v>9.1102522275097783E-2</v>
      </c>
      <c r="E5" s="5">
        <f>損益表!S5/((資產負債表!V5+資產負債表!V6)/2)</f>
        <v>6.8687755212533452E-2</v>
      </c>
      <c r="F5" s="6">
        <f>資產負債表!M5/資產負債表!AE5</f>
        <v>1.1849777075195875</v>
      </c>
      <c r="G5" s="6">
        <f>(資產負債表!M5-資產負債表!K5-資產負債表!J5)/資產負債表!AE5</f>
        <v>1.0699042196206716</v>
      </c>
      <c r="H5" s="7">
        <f>資產負債表!AL5/資產負債表!AR5</f>
        <v>5.7367333418424717</v>
      </c>
      <c r="I5" s="6">
        <f>損益表!C5/(((資產負債表!D5+資產負債表!E5+資產負債表!F5)+(資產負債表!D6+資產負債表!E6+資產負債表!F6))/2)</f>
        <v>7.0884184937439558</v>
      </c>
      <c r="J5" s="6">
        <f>損益表!D5/((資產負債表!J5+資產負債表!J6)/2)</f>
        <v>9156.1549497847918</v>
      </c>
      <c r="K5" s="5">
        <f>損益表!C5/損益表!C6-1</f>
        <v>0.69879024863267269</v>
      </c>
      <c r="L5" s="5">
        <f>損益表!E5/損益表!E6-1</f>
        <v>0.51835763928449352</v>
      </c>
      <c r="M5" s="5">
        <f>損益表!Q5/損益表!Q6-1</f>
        <v>0.68079164643030587</v>
      </c>
      <c r="N5" s="5">
        <f>損益表!G5/損益表!C5</f>
        <v>4.2875344049534587E-2</v>
      </c>
      <c r="O5" s="5">
        <f>損益表!H5/損益表!C5</f>
        <v>1.3923200082945028E-2</v>
      </c>
      <c r="P5" s="5">
        <f>損益表!I5/損益表!C5</f>
        <v>2.236553406257735E-3</v>
      </c>
    </row>
    <row r="6" spans="1:16">
      <c r="B6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8E147-5133-4856-AC4A-6198C191327A}">
  <dimension ref="A1:H53"/>
  <sheetViews>
    <sheetView workbookViewId="0">
      <pane ySplit="1" topLeftCell="A2" activePane="bottomLeft" state="frozen"/>
      <selection pane="bottomLeft" activeCell="B37" sqref="B37:B40"/>
    </sheetView>
  </sheetViews>
  <sheetFormatPr defaultColWidth="9" defaultRowHeight="15.75"/>
  <cols>
    <col min="1" max="1" width="16.375" style="3" bestFit="1" customWidth="1"/>
    <col min="2" max="2" width="76" style="3" customWidth="1"/>
    <col min="3" max="3" width="40.75" style="3" customWidth="1"/>
    <col min="4" max="4" width="11.75" style="2" bestFit="1" customWidth="1"/>
    <col min="5" max="16384" width="9" style="3"/>
  </cols>
  <sheetData>
    <row r="1" spans="1:8">
      <c r="A1" s="3" t="s">
        <v>85</v>
      </c>
      <c r="B1" s="3" t="s">
        <v>86</v>
      </c>
      <c r="C1" s="3" t="s">
        <v>87</v>
      </c>
      <c r="D1" s="2" t="s">
        <v>88</v>
      </c>
    </row>
    <row r="2" spans="1:8">
      <c r="A2" s="9" t="s">
        <v>89</v>
      </c>
      <c r="B2" s="10" t="s">
        <v>90</v>
      </c>
      <c r="C2" s="3" t="s">
        <v>91</v>
      </c>
      <c r="D2" s="2" t="s">
        <v>92</v>
      </c>
    </row>
    <row r="3" spans="1:8">
      <c r="A3" s="9"/>
      <c r="B3" s="10"/>
      <c r="C3" s="3" t="s">
        <v>93</v>
      </c>
      <c r="D3" s="2" t="s">
        <v>94</v>
      </c>
    </row>
    <row r="4" spans="1:8">
      <c r="A4" s="9"/>
      <c r="B4" s="10"/>
      <c r="C4" s="3" t="s">
        <v>95</v>
      </c>
      <c r="D4" s="2" t="s">
        <v>92</v>
      </c>
    </row>
    <row r="5" spans="1:8">
      <c r="A5" s="9"/>
      <c r="B5" s="10"/>
      <c r="C5" s="3" t="s">
        <v>96</v>
      </c>
      <c r="D5" s="2" t="s">
        <v>94</v>
      </c>
    </row>
    <row r="6" spans="1:8">
      <c r="A6" s="9"/>
      <c r="B6" s="10"/>
      <c r="C6" s="3" t="s">
        <v>97</v>
      </c>
      <c r="D6" s="2" t="s">
        <v>94</v>
      </c>
    </row>
    <row r="7" spans="1:8">
      <c r="A7" s="9" t="s">
        <v>72</v>
      </c>
      <c r="B7" s="10" t="s">
        <v>98</v>
      </c>
      <c r="C7" s="3" t="s">
        <v>91</v>
      </c>
      <c r="D7" s="2" t="s">
        <v>92</v>
      </c>
    </row>
    <row r="8" spans="1:8">
      <c r="A8" s="9"/>
      <c r="B8" s="10"/>
      <c r="C8" s="3" t="s">
        <v>93</v>
      </c>
      <c r="D8" s="2" t="s">
        <v>94</v>
      </c>
    </row>
    <row r="9" spans="1:8">
      <c r="A9" s="9"/>
      <c r="B9" s="10"/>
      <c r="C9" s="3" t="s">
        <v>99</v>
      </c>
      <c r="D9" s="2" t="s">
        <v>94</v>
      </c>
    </row>
    <row r="10" spans="1:8">
      <c r="A10" s="9"/>
      <c r="B10" s="10"/>
      <c r="C10" s="3" t="s">
        <v>100</v>
      </c>
      <c r="D10" s="2" t="s">
        <v>92</v>
      </c>
    </row>
    <row r="11" spans="1:8">
      <c r="A11" s="9" t="s">
        <v>73</v>
      </c>
      <c r="B11" s="10" t="s">
        <v>101</v>
      </c>
      <c r="C11" s="3" t="s">
        <v>91</v>
      </c>
      <c r="D11" s="2" t="s">
        <v>92</v>
      </c>
    </row>
    <row r="12" spans="1:8">
      <c r="A12" s="9"/>
      <c r="B12" s="10"/>
      <c r="C12" s="3" t="s">
        <v>102</v>
      </c>
      <c r="D12" s="2" t="s">
        <v>94</v>
      </c>
    </row>
    <row r="13" spans="1:8">
      <c r="A13" s="9"/>
      <c r="B13" s="10"/>
      <c r="C13" s="3" t="s">
        <v>93</v>
      </c>
      <c r="D13" s="2" t="s">
        <v>94</v>
      </c>
    </row>
    <row r="14" spans="1:8">
      <c r="A14" s="9"/>
      <c r="B14" s="10"/>
      <c r="C14" s="3" t="s">
        <v>103</v>
      </c>
      <c r="D14" s="2" t="s">
        <v>92</v>
      </c>
    </row>
    <row r="15" spans="1:8" ht="16.5">
      <c r="A15" s="9" t="s">
        <v>104</v>
      </c>
      <c r="B15" s="9" t="s">
        <v>105</v>
      </c>
      <c r="C15" s="3" t="s">
        <v>106</v>
      </c>
      <c r="D15" s="2" t="s">
        <v>92</v>
      </c>
      <c r="F15"/>
      <c r="G15"/>
      <c r="H15"/>
    </row>
    <row r="16" spans="1:8" ht="16.5">
      <c r="A16" s="9"/>
      <c r="B16" s="9"/>
      <c r="C16" s="3" t="s">
        <v>107</v>
      </c>
      <c r="D16" s="2" t="s">
        <v>94</v>
      </c>
      <c r="F16"/>
      <c r="G16"/>
      <c r="H16"/>
    </row>
    <row r="17" spans="1:8" ht="16.5">
      <c r="A17" s="9"/>
      <c r="B17" s="9"/>
      <c r="C17" s="3" t="s">
        <v>108</v>
      </c>
      <c r="D17" s="2" t="s">
        <v>92</v>
      </c>
      <c r="F17"/>
      <c r="G17"/>
      <c r="H17"/>
    </row>
    <row r="18" spans="1:8" ht="16.5">
      <c r="A18" s="9"/>
      <c r="B18" s="9"/>
      <c r="C18" s="3" t="s">
        <v>109</v>
      </c>
      <c r="D18" s="2" t="s">
        <v>92</v>
      </c>
      <c r="F18"/>
      <c r="G18"/>
      <c r="H18"/>
    </row>
    <row r="19" spans="1:8" ht="16.5">
      <c r="A19" s="9"/>
      <c r="B19" s="9"/>
      <c r="C19" s="3" t="s">
        <v>110</v>
      </c>
      <c r="D19" s="2" t="s">
        <v>94</v>
      </c>
      <c r="F19"/>
      <c r="G19"/>
      <c r="H19"/>
    </row>
    <row r="20" spans="1:8" ht="16.5">
      <c r="A20" s="9" t="s">
        <v>75</v>
      </c>
      <c r="B20" s="9" t="s">
        <v>111</v>
      </c>
      <c r="C20" s="3" t="s">
        <v>112</v>
      </c>
      <c r="D20" s="2" t="s">
        <v>92</v>
      </c>
      <c r="F20"/>
      <c r="G20"/>
      <c r="H20"/>
    </row>
    <row r="21" spans="1:8" ht="16.5">
      <c r="A21" s="9"/>
      <c r="B21" s="9"/>
      <c r="C21" s="3" t="s">
        <v>113</v>
      </c>
      <c r="D21" s="2" t="s">
        <v>94</v>
      </c>
      <c r="F21"/>
      <c r="G21"/>
      <c r="H21"/>
    </row>
    <row r="22" spans="1:8" ht="16.5">
      <c r="A22" s="9"/>
      <c r="B22" s="9"/>
      <c r="C22" s="3" t="s">
        <v>114</v>
      </c>
      <c r="D22" s="2" t="s">
        <v>92</v>
      </c>
      <c r="F22"/>
      <c r="G22"/>
      <c r="H22"/>
    </row>
    <row r="23" spans="1:8" ht="16.5">
      <c r="A23" s="9"/>
      <c r="B23" s="9"/>
      <c r="C23" s="3" t="s">
        <v>115</v>
      </c>
      <c r="D23" s="2" t="s">
        <v>94</v>
      </c>
      <c r="F23"/>
      <c r="G23"/>
      <c r="H23"/>
    </row>
    <row r="24" spans="1:8">
      <c r="A24" s="9" t="s">
        <v>116</v>
      </c>
      <c r="B24" s="10" t="s">
        <v>117</v>
      </c>
      <c r="C24" s="3" t="s">
        <v>118</v>
      </c>
      <c r="D24" s="2" t="s">
        <v>94</v>
      </c>
    </row>
    <row r="25" spans="1:8">
      <c r="A25" s="9"/>
      <c r="B25" s="10"/>
      <c r="C25" s="3" t="s">
        <v>119</v>
      </c>
      <c r="D25" s="2" t="s">
        <v>92</v>
      </c>
    </row>
    <row r="26" spans="1:8">
      <c r="A26" s="9"/>
      <c r="B26" s="10"/>
      <c r="C26" s="3" t="s">
        <v>103</v>
      </c>
      <c r="D26" s="2" t="s">
        <v>94</v>
      </c>
    </row>
    <row r="27" spans="1:8">
      <c r="A27" s="9" t="s">
        <v>120</v>
      </c>
      <c r="B27" s="9" t="s">
        <v>121</v>
      </c>
      <c r="C27" s="3" t="s">
        <v>122</v>
      </c>
      <c r="D27" s="2" t="s">
        <v>92</v>
      </c>
    </row>
    <row r="28" spans="1:8">
      <c r="A28" s="9"/>
      <c r="B28" s="9"/>
      <c r="C28" s="3" t="s">
        <v>123</v>
      </c>
      <c r="D28" s="2" t="s">
        <v>94</v>
      </c>
    </row>
    <row r="29" spans="1:8">
      <c r="A29" s="9"/>
      <c r="B29" s="9"/>
      <c r="C29" s="3" t="s">
        <v>124</v>
      </c>
      <c r="D29" s="2" t="s">
        <v>94</v>
      </c>
    </row>
    <row r="30" spans="1:8">
      <c r="A30" s="9" t="s">
        <v>125</v>
      </c>
      <c r="B30" s="9" t="s">
        <v>126</v>
      </c>
      <c r="C30" s="3" t="s">
        <v>127</v>
      </c>
      <c r="D30" s="2" t="s">
        <v>92</v>
      </c>
    </row>
    <row r="31" spans="1:8">
      <c r="A31" s="9"/>
      <c r="B31" s="9"/>
      <c r="C31" s="3" t="s">
        <v>128</v>
      </c>
      <c r="D31" s="2" t="s">
        <v>94</v>
      </c>
    </row>
    <row r="32" spans="1:8">
      <c r="A32" s="9"/>
      <c r="B32" s="9"/>
      <c r="C32" s="3" t="s">
        <v>124</v>
      </c>
      <c r="D32" s="2" t="s">
        <v>94</v>
      </c>
    </row>
    <row r="33" spans="1:4">
      <c r="A33" s="9" t="s">
        <v>79</v>
      </c>
      <c r="B33" s="9" t="s">
        <v>129</v>
      </c>
      <c r="C33" s="3" t="s">
        <v>91</v>
      </c>
      <c r="D33" s="2" t="s">
        <v>92</v>
      </c>
    </row>
    <row r="34" spans="1:4">
      <c r="A34" s="9"/>
      <c r="B34" s="9"/>
      <c r="C34" s="3" t="s">
        <v>93</v>
      </c>
      <c r="D34" s="2" t="s">
        <v>94</v>
      </c>
    </row>
    <row r="35" spans="1:4">
      <c r="A35" s="9"/>
      <c r="B35" s="9"/>
      <c r="C35" s="3" t="s">
        <v>130</v>
      </c>
      <c r="D35" s="2" t="s">
        <v>92</v>
      </c>
    </row>
    <row r="36" spans="1:4">
      <c r="A36" s="9"/>
      <c r="B36" s="9"/>
      <c r="C36" s="3" t="s">
        <v>131</v>
      </c>
      <c r="D36" s="2" t="s">
        <v>94</v>
      </c>
    </row>
    <row r="37" spans="1:4">
      <c r="A37" s="9" t="s">
        <v>80</v>
      </c>
      <c r="B37" s="9" t="s">
        <v>132</v>
      </c>
      <c r="C37" s="3" t="s">
        <v>124</v>
      </c>
      <c r="D37" s="2" t="s">
        <v>94</v>
      </c>
    </row>
    <row r="38" spans="1:4">
      <c r="A38" s="9"/>
      <c r="B38" s="9"/>
      <c r="C38" s="3" t="s">
        <v>103</v>
      </c>
      <c r="D38" s="2" t="s">
        <v>92</v>
      </c>
    </row>
    <row r="39" spans="1:4">
      <c r="A39" s="9"/>
      <c r="B39" s="9"/>
      <c r="C39" s="3" t="s">
        <v>133</v>
      </c>
      <c r="D39" s="2" t="s">
        <v>92</v>
      </c>
    </row>
    <row r="40" spans="1:4">
      <c r="A40" s="9"/>
      <c r="B40" s="9"/>
      <c r="C40" s="3" t="s">
        <v>134</v>
      </c>
      <c r="D40" s="2" t="s">
        <v>94</v>
      </c>
    </row>
    <row r="41" spans="1:4">
      <c r="A41" s="9" t="s">
        <v>81</v>
      </c>
      <c r="B41" s="9" t="s">
        <v>135</v>
      </c>
      <c r="C41" s="3" t="s">
        <v>124</v>
      </c>
      <c r="D41" s="2" t="s">
        <v>94</v>
      </c>
    </row>
    <row r="42" spans="1:4">
      <c r="A42" s="9"/>
      <c r="B42" s="9"/>
      <c r="C42" s="3" t="s">
        <v>103</v>
      </c>
      <c r="D42" s="2" t="s">
        <v>92</v>
      </c>
    </row>
    <row r="43" spans="1:4">
      <c r="A43" s="9"/>
      <c r="B43" s="9"/>
      <c r="C43" s="3" t="s">
        <v>133</v>
      </c>
      <c r="D43" s="2" t="s">
        <v>92</v>
      </c>
    </row>
    <row r="44" spans="1:4">
      <c r="A44" s="9"/>
      <c r="B44" s="9"/>
      <c r="C44" s="3" t="s">
        <v>134</v>
      </c>
      <c r="D44" s="2" t="s">
        <v>94</v>
      </c>
    </row>
    <row r="45" spans="1:4">
      <c r="A45" s="9" t="s">
        <v>82</v>
      </c>
      <c r="B45" s="9" t="s">
        <v>136</v>
      </c>
      <c r="C45" s="3" t="s">
        <v>137</v>
      </c>
      <c r="D45" s="2" t="s">
        <v>94</v>
      </c>
    </row>
    <row r="46" spans="1:4">
      <c r="A46" s="9"/>
      <c r="B46" s="9"/>
      <c r="C46" s="3" t="s">
        <v>103</v>
      </c>
      <c r="D46" s="2" t="s">
        <v>94</v>
      </c>
    </row>
    <row r="47" spans="1:4">
      <c r="A47" s="9"/>
      <c r="B47" s="9"/>
      <c r="C47" s="3" t="s">
        <v>138</v>
      </c>
      <c r="D47" s="2" t="s">
        <v>94</v>
      </c>
    </row>
    <row r="48" spans="1:4">
      <c r="A48" s="9" t="s">
        <v>83</v>
      </c>
      <c r="B48" s="9" t="s">
        <v>139</v>
      </c>
      <c r="C48" s="3" t="s">
        <v>137</v>
      </c>
      <c r="D48" s="2" t="s">
        <v>94</v>
      </c>
    </row>
    <row r="49" spans="1:4">
      <c r="A49" s="9"/>
      <c r="B49" s="9"/>
      <c r="C49" s="3" t="s">
        <v>103</v>
      </c>
      <c r="D49" s="2" t="s">
        <v>94</v>
      </c>
    </row>
    <row r="50" spans="1:4">
      <c r="A50" s="9"/>
      <c r="B50" s="9"/>
      <c r="C50" s="3" t="s">
        <v>138</v>
      </c>
      <c r="D50" s="2" t="s">
        <v>94</v>
      </c>
    </row>
    <row r="51" spans="1:4">
      <c r="A51" s="9" t="s">
        <v>84</v>
      </c>
      <c r="B51" s="9" t="s">
        <v>140</v>
      </c>
      <c r="C51" s="3" t="s">
        <v>137</v>
      </c>
      <c r="D51" s="2" t="s">
        <v>94</v>
      </c>
    </row>
    <row r="52" spans="1:4">
      <c r="A52" s="9"/>
      <c r="B52" s="9"/>
      <c r="C52" s="3" t="s">
        <v>103</v>
      </c>
      <c r="D52" s="2" t="s">
        <v>94</v>
      </c>
    </row>
    <row r="53" spans="1:4" ht="16.149999999999999" customHeight="1">
      <c r="A53" s="9"/>
      <c r="B53" s="9"/>
      <c r="C53" s="3" t="s">
        <v>138</v>
      </c>
      <c r="D53" s="2" t="s">
        <v>94</v>
      </c>
    </row>
  </sheetData>
  <mergeCells count="28">
    <mergeCell ref="A27:A29"/>
    <mergeCell ref="B27:B29"/>
    <mergeCell ref="A30:A32"/>
    <mergeCell ref="B30:B32"/>
    <mergeCell ref="A33:A36"/>
    <mergeCell ref="B33:B36"/>
    <mergeCell ref="A15:A19"/>
    <mergeCell ref="B15:B19"/>
    <mergeCell ref="A20:A23"/>
    <mergeCell ref="B20:B23"/>
    <mergeCell ref="A24:A26"/>
    <mergeCell ref="B24:B26"/>
    <mergeCell ref="B2:B6"/>
    <mergeCell ref="B7:B10"/>
    <mergeCell ref="A7:A10"/>
    <mergeCell ref="A11:A14"/>
    <mergeCell ref="B11:B14"/>
    <mergeCell ref="A2:A6"/>
    <mergeCell ref="A48:A50"/>
    <mergeCell ref="B48:B50"/>
    <mergeCell ref="A51:A53"/>
    <mergeCell ref="B51:B53"/>
    <mergeCell ref="B37:B40"/>
    <mergeCell ref="A37:A40"/>
    <mergeCell ref="A41:A44"/>
    <mergeCell ref="B41:B44"/>
    <mergeCell ref="B45:B47"/>
    <mergeCell ref="A45:A4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Miles Chuang(莊育華)</dc:creator>
  <cp:keywords/>
  <dc:description/>
  <cp:lastModifiedBy/>
  <cp:revision/>
  <dcterms:created xsi:type="dcterms:W3CDTF">2026-01-12T05:06:05Z</dcterms:created>
  <dcterms:modified xsi:type="dcterms:W3CDTF">2026-01-23T07:26:50Z</dcterms:modified>
  <cp:category/>
  <cp:contentStatus/>
</cp:coreProperties>
</file>